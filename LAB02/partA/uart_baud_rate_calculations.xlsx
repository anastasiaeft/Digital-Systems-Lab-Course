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ast\Downloads\"/>
    </mc:Choice>
  </mc:AlternateContent>
  <xr:revisionPtr revIDLastSave="0" documentId="13_ncr:1_{8A616310-C7F0-43AC-90D7-3088B48970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D9" i="1"/>
  <c r="E9" i="1" s="1"/>
  <c r="F9" i="1" s="1"/>
  <c r="D8" i="1"/>
  <c r="E8" i="1" s="1"/>
  <c r="F8" i="1" s="1"/>
  <c r="F7" i="1"/>
  <c r="E7" i="1"/>
  <c r="D7" i="1"/>
  <c r="D6" i="1"/>
  <c r="E6" i="1" s="1"/>
  <c r="F6" i="1" s="1"/>
  <c r="D5" i="1"/>
  <c r="E5" i="1" s="1"/>
  <c r="F5" i="1" s="1"/>
  <c r="D4" i="1"/>
  <c r="E4" i="1" s="1"/>
  <c r="F4" i="1" s="1"/>
  <c r="D3" i="1"/>
  <c r="E3" i="1" s="1"/>
  <c r="F3" i="1" s="1"/>
  <c r="D2" i="1"/>
  <c r="E2" i="1" s="1"/>
  <c r="F2" i="1" s="1"/>
  <c r="I8" i="1" l="1"/>
  <c r="K8" i="1" s="1"/>
  <c r="H8" i="1"/>
  <c r="J8" i="1" s="1"/>
  <c r="G8" i="1"/>
  <c r="J2" i="1"/>
  <c r="I2" i="1"/>
  <c r="K2" i="1" s="1"/>
  <c r="H2" i="1"/>
  <c r="G2" i="1"/>
  <c r="I3" i="1"/>
  <c r="K3" i="1" s="1"/>
  <c r="H3" i="1"/>
  <c r="J3" i="1" s="1"/>
  <c r="G3" i="1"/>
  <c r="I6" i="1"/>
  <c r="K6" i="1" s="1"/>
  <c r="H6" i="1"/>
  <c r="J6" i="1" s="1"/>
  <c r="G6" i="1"/>
  <c r="H4" i="1"/>
  <c r="J4" i="1" s="1"/>
  <c r="I4" i="1"/>
  <c r="K4" i="1" s="1"/>
  <c r="G4" i="1"/>
  <c r="I5" i="1"/>
  <c r="K5" i="1" s="1"/>
  <c r="H5" i="1"/>
  <c r="J5" i="1" s="1"/>
  <c r="G5" i="1"/>
  <c r="H9" i="1"/>
  <c r="J9" i="1" s="1"/>
  <c r="G9" i="1"/>
  <c r="I9" i="1"/>
  <c r="K9" i="1" s="1"/>
  <c r="H7" i="1"/>
  <c r="J7" i="1" s="1"/>
  <c r="G7" i="1"/>
  <c r="I7" i="1"/>
  <c r="K7" i="1"/>
  <c r="L2" i="1" l="1"/>
</calcChain>
</file>

<file path=xl/sharedStrings.xml><?xml version="1.0" encoding="utf-8"?>
<sst xmlns="http://schemas.openxmlformats.org/spreadsheetml/2006/main" count="20" uniqueCount="20">
  <si>
    <t>BAUD SELECT</t>
  </si>
  <si>
    <t>BAD RATE ideal</t>
  </si>
  <si>
    <t>baudrate * 16</t>
  </si>
  <si>
    <t>1/(baudrate*16)</t>
  </si>
  <si>
    <t>* 10^8</t>
  </si>
  <si>
    <t>round</t>
  </si>
  <si>
    <t>ceiling</t>
  </si>
  <si>
    <t>floor</t>
  </si>
  <si>
    <t>error ceiling</t>
  </si>
  <si>
    <t>error floor</t>
  </si>
  <si>
    <t>best baud ratein cycles</t>
  </si>
  <si>
    <t>000</t>
  </si>
  <si>
    <t>001</t>
  </si>
  <si>
    <t>010</t>
  </si>
  <si>
    <t>011</t>
  </si>
  <si>
    <t>100</t>
  </si>
  <si>
    <t>101</t>
  </si>
  <si>
    <t>110</t>
  </si>
  <si>
    <t>111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</si>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</sst>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J23" sqref="J23:K23"/>
    </sheetView>
  </sheetViews>
  <sheetFormatPr defaultColWidth="12.5703125" defaultRowHeight="15.75" customHeight="1" x14ac:dyDescent="0.2"/>
  <cols>
    <col min="1" max="1" width="14" bestFit="1" customWidth="1"/>
    <col min="2" max="2" width="14.85546875" bestFit="1" customWidth="1"/>
    <col min="3" max="3" width="8.42578125" bestFit="1" customWidth="1"/>
    <col min="4" max="4" width="12" bestFit="1" customWidth="1"/>
    <col min="5" max="5" width="13.7109375" bestFit="1" customWidth="1"/>
    <col min="6" max="6" width="12" bestFit="1" customWidth="1"/>
    <col min="7" max="7" width="6" bestFit="1" customWidth="1"/>
    <col min="8" max="8" width="6.28515625" bestFit="1" customWidth="1"/>
    <col min="9" max="9" width="6" bestFit="1" customWidth="1"/>
    <col min="10" max="10" width="10.5703125" bestFit="1" customWidth="1"/>
    <col min="11" max="11" width="8.7109375" bestFit="1" customWidth="1"/>
  </cols>
  <sheetData>
    <row r="1" spans="1:13" x14ac:dyDescent="0.2">
      <c r="A1" s="5" t="s">
        <v>0</v>
      </c>
      <c r="B1" s="6" t="s">
        <v>1</v>
      </c>
      <c r="C1" s="8" t="s">
        <v>19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7"/>
    </row>
    <row r="2" spans="1:13" x14ac:dyDescent="0.2">
      <c r="A2" t="s">
        <v>11</v>
      </c>
      <c r="B2" s="1">
        <v>300</v>
      </c>
      <c r="C2" s="1">
        <v>16</v>
      </c>
      <c r="D2" s="1">
        <f t="shared" ref="D2:D9" si="0">B2*C2</f>
        <v>4800</v>
      </c>
      <c r="E2" s="1">
        <f t="shared" ref="E2:E9" si="1">1/D2</f>
        <v>2.0833333333333335E-4</v>
      </c>
      <c r="F2" s="1">
        <f t="shared" ref="F2:F9" si="2">E2*10^8</f>
        <v>20833.333333333336</v>
      </c>
      <c r="G2" s="1">
        <f t="shared" ref="G2:G9" si="3">ROUND(F2,0)</f>
        <v>20833</v>
      </c>
      <c r="H2" s="1">
        <f t="shared" ref="H2:H9" si="4">CEILING(F2,1)</f>
        <v>20834</v>
      </c>
      <c r="I2" s="1">
        <f t="shared" ref="I2:I9" si="5">FLOOR(F2,1)</f>
        <v>20833</v>
      </c>
      <c r="J2" s="3">
        <f t="shared" ref="J2:J9" si="6">ABS((F2-H2)/F2)</f>
        <v>3.1999999999883582E-5</v>
      </c>
      <c r="K2" s="3">
        <f t="shared" ref="K2:K9" si="7">(F2-I2)/F2</f>
        <v>1.6000000000116412E-5</v>
      </c>
      <c r="L2" s="4">
        <f t="shared" ref="L2:L9" si="8">IF(J2&lt;K2, H2,I2)</f>
        <v>20833</v>
      </c>
      <c r="M2" s="4"/>
    </row>
    <row r="3" spans="1:13" x14ac:dyDescent="0.2">
      <c r="A3" t="s">
        <v>12</v>
      </c>
      <c r="B3" s="1">
        <v>1200</v>
      </c>
      <c r="C3" s="1">
        <v>16</v>
      </c>
      <c r="D3" s="1">
        <f t="shared" si="0"/>
        <v>19200</v>
      </c>
      <c r="E3" s="1">
        <f t="shared" si="1"/>
        <v>5.2083333333333337E-5</v>
      </c>
      <c r="F3" s="1">
        <f t="shared" si="2"/>
        <v>5208.3333333333339</v>
      </c>
      <c r="G3" s="1">
        <f t="shared" si="3"/>
        <v>5208</v>
      </c>
      <c r="H3" s="1">
        <f t="shared" si="4"/>
        <v>5209</v>
      </c>
      <c r="I3" s="1">
        <f t="shared" si="5"/>
        <v>5208</v>
      </c>
      <c r="J3" s="3">
        <f t="shared" si="6"/>
        <v>1.2799999999988358E-4</v>
      </c>
      <c r="K3" s="3">
        <f t="shared" si="7"/>
        <v>6.4000000000116413E-5</v>
      </c>
      <c r="L3" s="4">
        <f t="shared" ref="L3:L9" si="9">IF(J3&lt;K3, H3,I3)</f>
        <v>5208</v>
      </c>
      <c r="M3" s="4"/>
    </row>
    <row r="4" spans="1:13" x14ac:dyDescent="0.2">
      <c r="A4" t="s">
        <v>13</v>
      </c>
      <c r="B4" s="1">
        <v>4800</v>
      </c>
      <c r="C4" s="1">
        <v>16</v>
      </c>
      <c r="D4" s="1">
        <f t="shared" si="0"/>
        <v>76800</v>
      </c>
      <c r="E4" s="1">
        <f t="shared" si="1"/>
        <v>1.3020833333333334E-5</v>
      </c>
      <c r="F4" s="1">
        <f t="shared" si="2"/>
        <v>1302.0833333333335</v>
      </c>
      <c r="G4" s="1">
        <f t="shared" si="3"/>
        <v>1302</v>
      </c>
      <c r="H4" s="1">
        <f t="shared" si="4"/>
        <v>1303</v>
      </c>
      <c r="I4" s="1">
        <f t="shared" si="5"/>
        <v>1302</v>
      </c>
      <c r="J4" s="3">
        <f t="shared" si="6"/>
        <v>7.0399999999988354E-4</v>
      </c>
      <c r="K4" s="3">
        <f t="shared" si="7"/>
        <v>6.4000000000116413E-5</v>
      </c>
      <c r="L4" s="4">
        <f t="shared" si="9"/>
        <v>1302</v>
      </c>
      <c r="M4" s="4"/>
    </row>
    <row r="5" spans="1:13" x14ac:dyDescent="0.2">
      <c r="A5" t="s">
        <v>14</v>
      </c>
      <c r="B5" s="1">
        <v>9600</v>
      </c>
      <c r="C5" s="1">
        <v>16</v>
      </c>
      <c r="D5" s="1">
        <f t="shared" si="0"/>
        <v>153600</v>
      </c>
      <c r="E5" s="1">
        <f t="shared" si="1"/>
        <v>6.5104166666666671E-6</v>
      </c>
      <c r="F5" s="1">
        <f t="shared" si="2"/>
        <v>651.04166666666674</v>
      </c>
      <c r="G5" s="1">
        <f t="shared" si="3"/>
        <v>651</v>
      </c>
      <c r="H5" s="1">
        <f t="shared" si="4"/>
        <v>652</v>
      </c>
      <c r="I5" s="1">
        <f t="shared" si="5"/>
        <v>651</v>
      </c>
      <c r="J5" s="3">
        <f t="shared" si="6"/>
        <v>1.4719999999998833E-3</v>
      </c>
      <c r="K5" s="3">
        <f t="shared" si="7"/>
        <v>6.4000000000116413E-5</v>
      </c>
      <c r="L5" s="4">
        <f t="shared" si="9"/>
        <v>651</v>
      </c>
      <c r="M5" s="4"/>
    </row>
    <row r="6" spans="1:13" x14ac:dyDescent="0.2">
      <c r="A6" t="s">
        <v>15</v>
      </c>
      <c r="B6" s="1">
        <v>19200</v>
      </c>
      <c r="C6" s="1">
        <v>16</v>
      </c>
      <c r="D6" s="1">
        <f t="shared" si="0"/>
        <v>307200</v>
      </c>
      <c r="E6" s="1">
        <f t="shared" si="1"/>
        <v>3.2552083333333335E-6</v>
      </c>
      <c r="F6" s="1">
        <f t="shared" si="2"/>
        <v>325.52083333333337</v>
      </c>
      <c r="G6" s="1">
        <f t="shared" si="3"/>
        <v>326</v>
      </c>
      <c r="H6" s="1">
        <f t="shared" si="4"/>
        <v>326</v>
      </c>
      <c r="I6" s="1">
        <f t="shared" si="5"/>
        <v>325</v>
      </c>
      <c r="J6" s="3">
        <f t="shared" si="6"/>
        <v>1.4719999999998833E-3</v>
      </c>
      <c r="K6" s="3">
        <f t="shared" si="7"/>
        <v>1.6000000000001163E-3</v>
      </c>
      <c r="L6" s="4">
        <f t="shared" si="9"/>
        <v>326</v>
      </c>
      <c r="M6" s="4"/>
    </row>
    <row r="7" spans="1:13" x14ac:dyDescent="0.2">
      <c r="A7" t="s">
        <v>16</v>
      </c>
      <c r="B7" s="1">
        <v>38400</v>
      </c>
      <c r="C7" s="1">
        <v>16</v>
      </c>
      <c r="D7" s="1">
        <f t="shared" si="0"/>
        <v>614400</v>
      </c>
      <c r="E7" s="1">
        <f t="shared" si="1"/>
        <v>1.6276041666666668E-6</v>
      </c>
      <c r="F7" s="1">
        <f t="shared" si="2"/>
        <v>162.76041666666669</v>
      </c>
      <c r="G7" s="1">
        <f t="shared" si="3"/>
        <v>163</v>
      </c>
      <c r="H7" s="1">
        <f t="shared" si="4"/>
        <v>163</v>
      </c>
      <c r="I7" s="1">
        <f t="shared" si="5"/>
        <v>162</v>
      </c>
      <c r="J7" s="3">
        <f t="shared" si="6"/>
        <v>1.4719999999998833E-3</v>
      </c>
      <c r="K7" s="3">
        <f t="shared" si="7"/>
        <v>4.6720000000001162E-3</v>
      </c>
      <c r="L7" s="4">
        <f t="shared" si="9"/>
        <v>163</v>
      </c>
      <c r="M7" s="4"/>
    </row>
    <row r="8" spans="1:13" x14ac:dyDescent="0.2">
      <c r="A8" t="s">
        <v>17</v>
      </c>
      <c r="B8" s="1">
        <v>57600</v>
      </c>
      <c r="C8" s="1">
        <v>16</v>
      </c>
      <c r="D8" s="1">
        <f t="shared" si="0"/>
        <v>921600</v>
      </c>
      <c r="E8" s="1">
        <f t="shared" si="1"/>
        <v>1.0850694444444444E-6</v>
      </c>
      <c r="F8" s="1">
        <f t="shared" si="2"/>
        <v>108.50694444444444</v>
      </c>
      <c r="G8" s="1">
        <f t="shared" si="3"/>
        <v>109</v>
      </c>
      <c r="H8" s="1">
        <f t="shared" si="4"/>
        <v>109</v>
      </c>
      <c r="I8" s="1">
        <f t="shared" si="5"/>
        <v>108</v>
      </c>
      <c r="J8" s="3">
        <f t="shared" si="6"/>
        <v>4.544000000000015E-3</v>
      </c>
      <c r="K8" s="3">
        <f t="shared" si="7"/>
        <v>4.6719999999999852E-3</v>
      </c>
      <c r="L8" s="4">
        <f t="shared" si="9"/>
        <v>109</v>
      </c>
      <c r="M8" s="4"/>
    </row>
    <row r="9" spans="1:13" x14ac:dyDescent="0.2">
      <c r="A9" s="1" t="s">
        <v>18</v>
      </c>
      <c r="B9" s="1">
        <v>115200</v>
      </c>
      <c r="C9" s="1">
        <v>16</v>
      </c>
      <c r="D9" s="1">
        <f t="shared" si="0"/>
        <v>1843200</v>
      </c>
      <c r="E9" s="1">
        <f t="shared" si="1"/>
        <v>5.4253472222222222E-7</v>
      </c>
      <c r="F9" s="1">
        <f t="shared" si="2"/>
        <v>54.253472222222221</v>
      </c>
      <c r="G9" s="1">
        <f t="shared" si="3"/>
        <v>54</v>
      </c>
      <c r="H9" s="1">
        <f t="shared" si="4"/>
        <v>55</v>
      </c>
      <c r="I9" s="1">
        <f t="shared" si="5"/>
        <v>54</v>
      </c>
      <c r="J9" s="3">
        <f t="shared" si="6"/>
        <v>1.3760000000000015E-2</v>
      </c>
      <c r="K9" s="3">
        <f t="shared" si="7"/>
        <v>4.6719999999999852E-3</v>
      </c>
      <c r="L9" s="4">
        <f t="shared" si="9"/>
        <v>54</v>
      </c>
      <c r="M9" s="4"/>
    </row>
    <row r="10" spans="1:13" x14ac:dyDescent="0.2">
      <c r="A10" s="2"/>
    </row>
    <row r="11" spans="1:13" x14ac:dyDescent="0.2">
      <c r="A11" s="2"/>
    </row>
    <row r="12" spans="1:13" x14ac:dyDescent="0.2">
      <c r="A12" s="2"/>
    </row>
    <row r="13" spans="1:13" x14ac:dyDescent="0.2">
      <c r="A13" s="2"/>
    </row>
    <row r="14" spans="1:13" x14ac:dyDescent="0.2">
      <c r="A14" s="2"/>
    </row>
    <row r="15" spans="1:13" x14ac:dyDescent="0.2">
      <c r="A15" s="2"/>
    </row>
    <row r="16" spans="1:13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</sheetData>
  <mergeCells count="9">
    <mergeCell ref="L7:M7"/>
    <mergeCell ref="L8:M8"/>
    <mergeCell ref="L9:M9"/>
    <mergeCell ref="L1:M1"/>
    <mergeCell ref="L2:M2"/>
    <mergeCell ref="L3:M3"/>
    <mergeCell ref="L4:M4"/>
    <mergeCell ref="L5:M5"/>
    <mergeCell ref="L6:M6"/>
  </mergeCells>
  <phoneticPr fontId="3" type="noConversion"/>
  <conditionalFormatting sqref="A10:A1000">
    <cfRule type="notContainsBlanks" dxfId="0" priority="1">
      <formula>LEN(TRIM(A10))&gt;0</formula>
    </cfRule>
  </conditionalFormatting>
  <pageMargins left="0.7" right="0.7" top="0.75" bottom="0.75" header="0.3" footer="0.3"/>
  <ignoredErrors>
    <ignoredError sqref="A2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Anastasia Efth</cp:lastModifiedBy>
  <dcterms:modified xsi:type="dcterms:W3CDTF">2025-11-24T15:05:07Z</dcterms:modified>
</cp:coreProperties>
</file>